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Главная" sheetId="1" state="visible" r:id="rId1"/>
    <sheet name="Ресурсы" sheetId="2" state="visible" r:id="rId2"/>
    <sheet name="Обработка заказа в интерн..." sheetId="3" state="visible" r:id="rId3"/>
  </sheets>
  <calcPr/>
</workbook>
</file>

<file path=xl/sharedStrings.xml><?xml version="1.0" encoding="utf-8"?>
<sst xmlns="http://schemas.openxmlformats.org/spreadsheetml/2006/main" count="91" uniqueCount="91">
  <si>
    <t xml:space="preserve">параметры сценария</t>
  </si>
  <si>
    <t xml:space="preserve">Количество потупающих заказаов в день шт</t>
  </si>
  <si>
    <t xml:space="preserve">средняя маржа по заказу руб</t>
  </si>
  <si>
    <t xml:space="preserve">стоимость доставки</t>
  </si>
  <si>
    <t xml:space="preserve">зарплата мненджера руб в час</t>
  </si>
  <si>
    <t xml:space="preserve">зарплата кладовщика руб в месяц</t>
  </si>
  <si>
    <t xml:space="preserve">зарплата курьера руб за доставку</t>
  </si>
  <si>
    <t xml:space="preserve">транспортные расходы курьера руб за доставку</t>
  </si>
  <si>
    <t xml:space="preserve">количество менеджеров, чел</t>
  </si>
  <si>
    <t xml:space="preserve">количество курьеров, чел</t>
  </si>
  <si>
    <t>Доходы</t>
  </si>
  <si>
    <t xml:space="preserve">Количество полученных заказов, шт. в месяц</t>
  </si>
  <si>
    <t xml:space="preserve">Количество успешно иполненных заказов, шт в месяц</t>
  </si>
  <si>
    <t xml:space="preserve">Количество отказов покупателей от заказа при получении</t>
  </si>
  <si>
    <t xml:space="preserve">Маржинальная прибыль руб в месяц</t>
  </si>
  <si>
    <t>Затраты</t>
  </si>
  <si>
    <t xml:space="preserve">Постоянные издержки</t>
  </si>
  <si>
    <t xml:space="preserve">запрлата кладовщика, руб в месяц</t>
  </si>
  <si>
    <t xml:space="preserve">аренда склада, руб в месяц</t>
  </si>
  <si>
    <t xml:space="preserve">реклама, руб в месяц</t>
  </si>
  <si>
    <t xml:space="preserve">иные постоянные издержки</t>
  </si>
  <si>
    <t xml:space="preserve">Переменные издержки </t>
  </si>
  <si>
    <t xml:space="preserve">запрлата менеджеров, руб в месяц</t>
  </si>
  <si>
    <t xml:space="preserve">зарплата куреров, руб в месяц</t>
  </si>
  <si>
    <t xml:space="preserve">транспортные раходы курьеров, руб в месяц</t>
  </si>
  <si>
    <t>Эффективность</t>
  </si>
  <si>
    <t xml:space="preserve">Эффективность чистая прибыль, руб в месяц</t>
  </si>
  <si>
    <t xml:space="preserve">чистая прибыль с 1-го заказа руб</t>
  </si>
  <si>
    <t xml:space="preserve">чистая прибыль с 1-го заказа, % от маржи</t>
  </si>
  <si>
    <t xml:space="preserve">себестоимость обработки 1-го заказа, руб</t>
  </si>
  <si>
    <t xml:space="preserve">средняя длительность обработки заказа, часы</t>
  </si>
  <si>
    <t xml:space="preserve">максимальное среднее время ожидания ресурса, мин. 
Какой ресурс
На какой Операции</t>
  </si>
  <si>
    <t xml:space="preserve">Средняя загрузка менеджера, % от рабочего времени</t>
  </si>
  <si>
    <t xml:space="preserve">средняя загрка курьера, % от рабочего времени</t>
  </si>
  <si>
    <t xml:space="preserve">Доля отказов от заказов при получаении, % от общего количества заказов</t>
  </si>
  <si>
    <t>Ресурс</t>
  </si>
  <si>
    <t>Использование</t>
  </si>
  <si>
    <t xml:space="preserve">Общие фиксированные затраты</t>
  </si>
  <si>
    <t xml:space="preserve">Общие затраты на единицу</t>
  </si>
  <si>
    <t xml:space="preserve">Общие затраты</t>
  </si>
  <si>
    <t>Курьер</t>
  </si>
  <si>
    <t xml:space="preserve">14.11 %</t>
  </si>
  <si>
    <t>21000</t>
  </si>
  <si>
    <t>0</t>
  </si>
  <si>
    <t>Менеджер</t>
  </si>
  <si>
    <t xml:space="preserve">1.34 %</t>
  </si>
  <si>
    <t>3000.00000000023</t>
  </si>
  <si>
    <t>Имя</t>
  </si>
  <si>
    <t>Тип</t>
  </si>
  <si>
    <t xml:space="preserve">Законченные случаи</t>
  </si>
  <si>
    <t xml:space="preserve">Начатые случаи</t>
  </si>
  <si>
    <t xml:space="preserve">Минимальное время (h)</t>
  </si>
  <si>
    <t xml:space="preserve">Максимальное время (h)</t>
  </si>
  <si>
    <t xml:space="preserve">Среднее время (h)</t>
  </si>
  <si>
    <t xml:space="preserve">Общее время (h)</t>
  </si>
  <si>
    <t xml:space="preserve">Минимальное время ожидания ресурса (h)</t>
  </si>
  <si>
    <t xml:space="preserve">Максимальное время ожидания ресурса (h)</t>
  </si>
  <si>
    <t xml:space="preserve">Среднее время ожидания ресурса  (h)</t>
  </si>
  <si>
    <t xml:space="preserve">Стандартное отклонение ресурсов ожидания (h)</t>
  </si>
  <si>
    <t xml:space="preserve">Общее время ожидания ресурса (h)</t>
  </si>
  <si>
    <t xml:space="preserve">Обработка заказа в интернет-магазине</t>
  </si>
  <si>
    <t>Процесс</t>
  </si>
  <si>
    <t/>
  </si>
  <si>
    <t>2.58333333333335</t>
  </si>
  <si>
    <t>5250</t>
  </si>
  <si>
    <t>NoneStart</t>
  </si>
  <si>
    <t xml:space="preserve">Начальное событие</t>
  </si>
  <si>
    <t xml:space="preserve">Визуальный контроль заказа</t>
  </si>
  <si>
    <t>Задача</t>
  </si>
  <si>
    <t>ExclusiveGateway</t>
  </si>
  <si>
    <t>Шлюз</t>
  </si>
  <si>
    <t xml:space="preserve">проверка наличия товаров на складе</t>
  </si>
  <si>
    <t xml:space="preserve">подтверждение заказа у покупателя</t>
  </si>
  <si>
    <t>ParallelGateway</t>
  </si>
  <si>
    <t xml:space="preserve">Оформление документов по заказу</t>
  </si>
  <si>
    <t xml:space="preserve">Отгрузка товара со склада </t>
  </si>
  <si>
    <t xml:space="preserve">выдача заказа курьеру</t>
  </si>
  <si>
    <t xml:space="preserve">Отмена заказа</t>
  </si>
  <si>
    <t xml:space="preserve">Согласование ожидания товара с покупателем</t>
  </si>
  <si>
    <t xml:space="preserve">Поставка товара на склад</t>
  </si>
  <si>
    <t xml:space="preserve">Заказ был отменён на начальном этапе</t>
  </si>
  <si>
    <t xml:space="preserve">Окончательное событие</t>
  </si>
  <si>
    <t xml:space="preserve">Согласование времени доставки с покупателем</t>
  </si>
  <si>
    <t xml:space="preserve">Доставка заказа покупателю </t>
  </si>
  <si>
    <t>1</t>
  </si>
  <si>
    <t>0.0246031746031748</t>
  </si>
  <si>
    <t>0.130872029220342</t>
  </si>
  <si>
    <t xml:space="preserve">Заказ успешно выполнен</t>
  </si>
  <si>
    <t xml:space="preserve">Возврат товара на склад и аннулирование заказа</t>
  </si>
  <si>
    <t xml:space="preserve">Отказ покупателя от заказа после отгрузки курьеру</t>
  </si>
  <si>
    <t xml:space="preserve">Это первая попытка доставки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</si>
</sst>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b/>
      <sz val="11.000000"/>
      <color theme="1"/>
      <name val="Arial"/>
    </font>
    <font>
      <b/>
      <sz val="11.000000"/>
      <name val="Arial"/>
    </font>
    <font>
      <sz val="10.000000"/>
      <name val="Arial"/>
    </font>
    <font>
      <sz val="10.000000"/>
      <color indexed="64"/>
      <name val="Arial"/>
    </font>
    <font>
      <b/>
      <sz val="10.00000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5050"/>
        <bgColor rgb="FFFF5050"/>
      </patternFill>
    </fill>
    <fill>
      <patternFill patternType="solid">
        <fgColor rgb="FFFF9999"/>
        <bgColor rgb="FFFF999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CDCDC"/>
        <bgColor rgb="FFDCDC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0" numFmtId="3" xfId="0" applyNumberFormat="1"/>
    <xf fontId="0" fillId="0" borderId="1" numFmtId="0" xfId="0" applyBorder="1" applyAlignment="1">
      <alignment horizontal="center"/>
    </xf>
    <xf fontId="0" fillId="0" borderId="1" numFmtId="0" xfId="0" applyBorder="1"/>
    <xf fontId="0" fillId="0" borderId="1" numFmtId="3" xfId="0" applyNumberFormat="1" applyBorder="1"/>
    <xf fontId="1" fillId="2" borderId="1" numFmtId="0" xfId="0" applyFont="1" applyFill="1" applyBorder="1"/>
    <xf fontId="0" fillId="2" borderId="1" numFmtId="3" xfId="0" applyNumberFormat="1" applyFill="1" applyBorder="1"/>
    <xf fontId="2" fillId="3" borderId="1" numFmtId="0" xfId="0" applyFont="1" applyFill="1" applyBorder="1"/>
    <xf fontId="3" fillId="3" borderId="1" numFmtId="3" xfId="0" applyNumberFormat="1" applyFont="1" applyFill="1" applyBorder="1"/>
    <xf fontId="0" fillId="4" borderId="1" numFmtId="0" xfId="0" applyFill="1" applyBorder="1"/>
    <xf fontId="0" fillId="4" borderId="1" numFmtId="3" xfId="0" applyNumberFormat="1" applyFill="1" applyBorder="1"/>
    <xf fontId="1" fillId="5" borderId="1" numFmtId="0" xfId="0" applyFont="1" applyFill="1" applyBorder="1"/>
    <xf fontId="0" fillId="5" borderId="1" numFmtId="3" xfId="0" applyNumberFormat="1" applyFill="1" applyBorder="1"/>
    <xf fontId="0" fillId="0" borderId="1" numFmtId="0" xfId="0" applyBorder="1" applyAlignment="1">
      <alignment wrapText="1"/>
    </xf>
    <xf fontId="4" fillId="0" borderId="1" numFmtId="10" xfId="0" applyNumberFormat="1" applyFont="1" applyBorder="1"/>
    <xf fontId="0" fillId="0" borderId="1" numFmtId="4" xfId="0" applyNumberFormat="1" applyBorder="1"/>
    <xf fontId="5" fillId="6" borderId="1" numFmtId="0" xfId="0" applyFont="1" applyFill="1" applyBorder="1"/>
    <xf fontId="4" fillId="0" borderId="1" numFmtId="0" xfId="0" applyFont="1" applyBorder="1"/>
    <xf fontId="0" fillId="0" borderId="0" numFmtId="2" xfId="0" applyNumberFormat="1"/>
    <xf fontId="5" fillId="6" borderId="1" numFmtId="2" xfId="0" applyNumberFormat="1" applyFont="1" applyFill="1" applyBorder="1"/>
    <xf fontId="4" fillId="0" borderId="1" numFmtId="2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20" activeCellId="0" sqref="K20"/>
    </sheetView>
  </sheetViews>
  <sheetFormatPr defaultRowHeight="12.75"/>
  <cols>
    <col customWidth="1" min="2" max="2" width="65.28515625"/>
    <col min="3" max="3" style="1" width="9.140625"/>
  </cols>
  <sheetData>
    <row r="2">
      <c r="B2" s="2" t="s">
        <v>0</v>
      </c>
      <c r="C2" s="2"/>
    </row>
    <row r="3">
      <c r="B3" s="3" t="s">
        <v>1</v>
      </c>
      <c r="C3" s="4">
        <v>10</v>
      </c>
    </row>
    <row r="4">
      <c r="B4" s="3" t="s">
        <v>2</v>
      </c>
      <c r="C4" s="4">
        <v>1000</v>
      </c>
    </row>
    <row r="5">
      <c r="B5" s="3" t="s">
        <v>3</v>
      </c>
      <c r="C5" s="4">
        <v>0</v>
      </c>
    </row>
    <row r="6">
      <c r="B6" s="3" t="s">
        <v>4</v>
      </c>
      <c r="C6" s="4">
        <v>300</v>
      </c>
    </row>
    <row r="7">
      <c r="B7" s="3" t="s">
        <v>5</v>
      </c>
      <c r="C7" s="4">
        <v>30000</v>
      </c>
    </row>
    <row r="8">
      <c r="B8" s="3" t="s">
        <v>6</v>
      </c>
      <c r="C8" s="4">
        <v>200</v>
      </c>
    </row>
    <row r="9">
      <c r="B9" s="3" t="s">
        <v>7</v>
      </c>
      <c r="C9" s="4">
        <v>50</v>
      </c>
    </row>
    <row r="10">
      <c r="B10" s="3" t="s">
        <v>8</v>
      </c>
      <c r="C10" s="4">
        <v>1</v>
      </c>
    </row>
    <row r="11">
      <c r="B11" s="3" t="s">
        <v>9</v>
      </c>
      <c r="C11" s="4">
        <v>1</v>
      </c>
    </row>
    <row r="12" ht="14.25">
      <c r="B12" s="5" t="s">
        <v>10</v>
      </c>
      <c r="C12" s="6">
        <f>C16</f>
        <v>70000</v>
      </c>
    </row>
    <row r="13">
      <c r="B13" s="3" t="s">
        <v>11</v>
      </c>
      <c r="C13" s="4">
        <v>300</v>
      </c>
    </row>
    <row r="14">
      <c r="B14" s="3" t="s">
        <v>12</v>
      </c>
      <c r="C14" s="4">
        <v>70</v>
      </c>
    </row>
    <row r="15">
      <c r="B15" s="3" t="s">
        <v>13</v>
      </c>
      <c r="C15" s="4">
        <v>29</v>
      </c>
    </row>
    <row r="16">
      <c r="B16" s="3" t="s">
        <v>14</v>
      </c>
      <c r="C16" s="4">
        <f>(C4+C5)*C14</f>
        <v>70000</v>
      </c>
    </row>
    <row r="17" ht="14.25">
      <c r="B17" s="7" t="s">
        <v>15</v>
      </c>
      <c r="C17" s="8">
        <f>C18+C23</f>
        <v>99250</v>
      </c>
    </row>
    <row r="18">
      <c r="B18" s="9" t="s">
        <v>16</v>
      </c>
      <c r="C18" s="10">
        <f>SUM(C19:C22)</f>
        <v>70000</v>
      </c>
    </row>
    <row r="19">
      <c r="B19" s="3" t="s">
        <v>17</v>
      </c>
      <c r="C19" s="4">
        <v>30000</v>
      </c>
    </row>
    <row r="20">
      <c r="B20" s="3" t="s">
        <v>18</v>
      </c>
      <c r="C20" s="4">
        <v>10000</v>
      </c>
    </row>
    <row r="21">
      <c r="B21" s="3" t="s">
        <v>19</v>
      </c>
      <c r="C21" s="4">
        <v>10000</v>
      </c>
    </row>
    <row r="22">
      <c r="B22" s="3" t="s">
        <v>20</v>
      </c>
      <c r="C22" s="4">
        <v>20000</v>
      </c>
    </row>
    <row r="23">
      <c r="B23" s="9" t="s">
        <v>21</v>
      </c>
      <c r="C23" s="10">
        <f>SUM(C24:C26)</f>
        <v>29250</v>
      </c>
    </row>
    <row r="24">
      <c r="B24" s="3" t="s">
        <v>22</v>
      </c>
      <c r="C24" s="4">
        <v>3000</v>
      </c>
    </row>
    <row r="25">
      <c r="B25" s="3" t="s">
        <v>23</v>
      </c>
      <c r="C25" s="4">
        <v>21000</v>
      </c>
      <c r="D25" s="4"/>
    </row>
    <row r="26">
      <c r="B26" s="3" t="s">
        <v>24</v>
      </c>
      <c r="C26" s="4">
        <v>5250</v>
      </c>
    </row>
    <row r="27" ht="14.25">
      <c r="B27" s="11" t="s">
        <v>25</v>
      </c>
      <c r="C27" s="12"/>
    </row>
    <row r="28">
      <c r="B28" s="3" t="s">
        <v>26</v>
      </c>
      <c r="C28" s="4">
        <f>C12-C17</f>
        <v>-29250</v>
      </c>
    </row>
    <row r="29">
      <c r="B29" s="3" t="s">
        <v>27</v>
      </c>
      <c r="C29" s="4">
        <f>C28/C13</f>
        <v>-97.5</v>
      </c>
    </row>
    <row r="30">
      <c r="B30" s="3" t="s">
        <v>28</v>
      </c>
      <c r="C30" s="4">
        <f>C29/C4</f>
        <v>-0.097500000000000003</v>
      </c>
    </row>
    <row r="31">
      <c r="B31" s="3" t="s">
        <v>29</v>
      </c>
      <c r="C31" s="4">
        <f>C17/C13</f>
        <v>330.83333333333331</v>
      </c>
    </row>
    <row r="32">
      <c r="B32" s="3" t="s">
        <v>30</v>
      </c>
      <c r="C32" s="4">
        <v>4.7199999999999998</v>
      </c>
    </row>
    <row r="33" ht="40.5" customHeight="1">
      <c r="B33" s="13" t="s">
        <v>31</v>
      </c>
      <c r="C33" s="4"/>
    </row>
    <row r="34">
      <c r="B34" s="3" t="s">
        <v>32</v>
      </c>
      <c r="C34" s="14">
        <v>0.0134</v>
      </c>
    </row>
    <row r="35">
      <c r="B35" s="3" t="s">
        <v>33</v>
      </c>
      <c r="C35" s="14">
        <v>0.1411</v>
      </c>
    </row>
    <row r="36">
      <c r="B36" s="3" t="s">
        <v>34</v>
      </c>
      <c r="C36" s="15">
        <f>C15/C13</f>
        <v>0.096666666666666665</v>
      </c>
    </row>
  </sheetData>
  <mergeCells count="1"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"/>
    </sheetView>
  </sheetViews>
  <sheetFormatPr defaultRowHeight="12.75"/>
  <cols>
    <col customWidth="1" min="4" max="4" width="15.28515625"/>
  </cols>
  <sheetData>
    <row r="1">
      <c r="A1" s="16" t="s">
        <v>35</v>
      </c>
      <c r="B1" s="16" t="s">
        <v>36</v>
      </c>
      <c r="C1" s="16" t="s">
        <v>37</v>
      </c>
      <c r="D1" s="16" t="s">
        <v>38</v>
      </c>
      <c r="E1" s="16" t="s">
        <v>39</v>
      </c>
    </row>
    <row r="2">
      <c r="A2" s="17" t="s">
        <v>40</v>
      </c>
      <c r="B2" s="17" t="s">
        <v>41</v>
      </c>
      <c r="C2" s="17" t="s">
        <v>42</v>
      </c>
      <c r="D2" s="17" t="s">
        <v>43</v>
      </c>
      <c r="E2" s="17" t="s">
        <v>42</v>
      </c>
    </row>
    <row r="3">
      <c r="A3" s="17" t="s">
        <v>44</v>
      </c>
      <c r="B3" s="17" t="s">
        <v>45</v>
      </c>
      <c r="C3" s="17" t="s">
        <v>43</v>
      </c>
      <c r="D3" s="17" t="s">
        <v>46</v>
      </c>
      <c r="E3" s="17" t="s">
        <v>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1" activeCellId="0" sqref="C21"/>
    </sheetView>
  </sheetViews>
  <sheetFormatPr defaultRowHeight="12.75"/>
  <cols>
    <col customWidth="1" min="1" max="1" width="50.42578125"/>
    <col customWidth="1" min="2" max="4" width="10.28515625"/>
    <col customWidth="1" min="5" max="8" style="18" width="27.42578125"/>
    <col customWidth="1" min="9" max="14" width="19.42578125"/>
  </cols>
  <sheetData>
    <row r="1" ht="36" customHeight="1">
      <c r="A1" s="16" t="s">
        <v>47</v>
      </c>
      <c r="B1" s="16" t="s">
        <v>48</v>
      </c>
      <c r="C1" s="16" t="s">
        <v>49</v>
      </c>
      <c r="D1" s="16" t="s">
        <v>50</v>
      </c>
      <c r="E1" s="19" t="s">
        <v>51</v>
      </c>
      <c r="F1" s="19" t="s">
        <v>52</v>
      </c>
      <c r="G1" s="19" t="s">
        <v>53</v>
      </c>
      <c r="H1" s="19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59</v>
      </c>
      <c r="N1" s="16" t="s">
        <v>37</v>
      </c>
    </row>
    <row r="2">
      <c r="A2" s="17" t="s">
        <v>60</v>
      </c>
      <c r="B2" s="17" t="s">
        <v>61</v>
      </c>
      <c r="C2" s="17">
        <v>300</v>
      </c>
      <c r="D2" s="17">
        <v>300</v>
      </c>
      <c r="E2" s="20">
        <v>0.033333333333331397</v>
      </c>
      <c r="F2" s="20">
        <v>20.533333333333299</v>
      </c>
      <c r="G2" s="20">
        <v>4.7228888888888703</v>
      </c>
      <c r="H2" s="20">
        <v>1614.86666666667</v>
      </c>
      <c r="I2" s="17" t="s">
        <v>62</v>
      </c>
      <c r="J2" s="17" t="s">
        <v>62</v>
      </c>
      <c r="K2" s="17" t="s">
        <v>62</v>
      </c>
      <c r="L2" s="17" t="s">
        <v>62</v>
      </c>
      <c r="M2" s="17" t="s">
        <v>63</v>
      </c>
      <c r="N2" s="17" t="s">
        <v>64</v>
      </c>
    </row>
    <row r="3">
      <c r="A3" s="17" t="s">
        <v>65</v>
      </c>
      <c r="B3" s="17" t="s">
        <v>66</v>
      </c>
      <c r="C3" s="17">
        <v>300</v>
      </c>
      <c r="D3" s="17" t="s">
        <v>62</v>
      </c>
      <c r="E3" s="20" t="s">
        <v>62</v>
      </c>
      <c r="F3" s="20" t="s">
        <v>62</v>
      </c>
      <c r="G3" s="20" t="s">
        <v>62</v>
      </c>
      <c r="H3" s="20" t="s">
        <v>62</v>
      </c>
      <c r="I3" s="17" t="s">
        <v>62</v>
      </c>
      <c r="J3" s="17" t="s">
        <v>62</v>
      </c>
      <c r="K3" s="17" t="s">
        <v>62</v>
      </c>
      <c r="L3" s="17" t="s">
        <v>62</v>
      </c>
      <c r="M3" s="17" t="s">
        <v>62</v>
      </c>
      <c r="N3" s="17" t="s">
        <v>62</v>
      </c>
    </row>
    <row r="4">
      <c r="A4" s="17" t="s">
        <v>67</v>
      </c>
      <c r="B4" s="17" t="s">
        <v>68</v>
      </c>
      <c r="C4" s="17">
        <v>300</v>
      </c>
      <c r="D4" s="17">
        <v>300</v>
      </c>
      <c r="E4" s="20">
        <v>0.033333333333331397</v>
      </c>
      <c r="F4" s="20">
        <v>0.033333333333359902</v>
      </c>
      <c r="G4" s="20">
        <v>0.0333333333333359</v>
      </c>
      <c r="H4" s="20">
        <v>10.000000000000799</v>
      </c>
      <c r="I4" s="17">
        <v>0</v>
      </c>
      <c r="J4" s="17" t="s">
        <v>43</v>
      </c>
      <c r="K4" s="17" t="s">
        <v>43</v>
      </c>
      <c r="L4" s="17" t="s">
        <v>43</v>
      </c>
      <c r="M4" s="17" t="s">
        <v>43</v>
      </c>
      <c r="N4" s="17" t="s">
        <v>43</v>
      </c>
    </row>
    <row r="5">
      <c r="A5" s="17" t="s">
        <v>69</v>
      </c>
      <c r="B5" s="17" t="s">
        <v>70</v>
      </c>
      <c r="C5" s="17">
        <v>300</v>
      </c>
      <c r="D5" s="17">
        <v>300</v>
      </c>
      <c r="E5" s="20" t="s">
        <v>62</v>
      </c>
      <c r="F5" s="20" t="s">
        <v>62</v>
      </c>
      <c r="G5" s="20" t="s">
        <v>62</v>
      </c>
      <c r="H5" s="20" t="s">
        <v>62</v>
      </c>
      <c r="I5" s="17" t="s">
        <v>62</v>
      </c>
      <c r="J5" s="17" t="s">
        <v>62</v>
      </c>
      <c r="K5" s="17" t="s">
        <v>62</v>
      </c>
      <c r="L5" s="17" t="s">
        <v>62</v>
      </c>
      <c r="M5" s="17" t="s">
        <v>62</v>
      </c>
      <c r="N5" s="17" t="s">
        <v>62</v>
      </c>
    </row>
    <row r="6">
      <c r="A6" s="17" t="s">
        <v>71</v>
      </c>
      <c r="B6" s="17" t="s">
        <v>68</v>
      </c>
      <c r="C6" s="17">
        <v>159</v>
      </c>
      <c r="D6" s="17">
        <v>159</v>
      </c>
      <c r="E6" s="20">
        <v>0.333333333333314</v>
      </c>
      <c r="F6" s="20">
        <v>0.33333333333334297</v>
      </c>
      <c r="G6" s="20">
        <v>0.33333333333333298</v>
      </c>
      <c r="H6" s="20">
        <v>52.999999999999901</v>
      </c>
      <c r="I6" s="17">
        <v>0</v>
      </c>
      <c r="J6" s="17" t="s">
        <v>43</v>
      </c>
      <c r="K6" s="17" t="s">
        <v>43</v>
      </c>
      <c r="L6" s="17" t="s">
        <v>43</v>
      </c>
      <c r="M6" s="17" t="s">
        <v>43</v>
      </c>
      <c r="N6" s="17" t="s">
        <v>43</v>
      </c>
    </row>
    <row r="7">
      <c r="A7" s="17" t="s">
        <v>69</v>
      </c>
      <c r="B7" s="17" t="s">
        <v>70</v>
      </c>
      <c r="C7" s="17">
        <v>159</v>
      </c>
      <c r="D7" s="17">
        <v>159</v>
      </c>
      <c r="E7" s="20" t="s">
        <v>62</v>
      </c>
      <c r="F7" s="20" t="s">
        <v>62</v>
      </c>
      <c r="G7" s="20" t="s">
        <v>62</v>
      </c>
      <c r="H7" s="20" t="s">
        <v>62</v>
      </c>
      <c r="I7" s="17" t="s">
        <v>62</v>
      </c>
      <c r="J7" s="17" t="s">
        <v>62</v>
      </c>
      <c r="K7" s="17" t="s">
        <v>62</v>
      </c>
      <c r="L7" s="17" t="s">
        <v>62</v>
      </c>
      <c r="M7" s="17" t="s">
        <v>62</v>
      </c>
      <c r="N7" s="17" t="s">
        <v>62</v>
      </c>
    </row>
    <row r="8">
      <c r="A8" s="17" t="s">
        <v>72</v>
      </c>
      <c r="B8" s="17" t="s">
        <v>68</v>
      </c>
      <c r="C8" s="17">
        <v>117</v>
      </c>
      <c r="D8" s="17">
        <v>117</v>
      </c>
      <c r="E8" s="20">
        <v>0.166666666666657</v>
      </c>
      <c r="F8" s="20">
        <v>0.166666666666686</v>
      </c>
      <c r="G8" s="20">
        <v>0.16666666666666799</v>
      </c>
      <c r="H8" s="20">
        <v>19.500000000000099</v>
      </c>
      <c r="I8" s="17">
        <v>0</v>
      </c>
      <c r="J8" s="17" t="s">
        <v>43</v>
      </c>
      <c r="K8" s="17" t="s">
        <v>43</v>
      </c>
      <c r="L8" s="17" t="s">
        <v>43</v>
      </c>
      <c r="M8" s="17" t="s">
        <v>43</v>
      </c>
      <c r="N8" s="17" t="s">
        <v>43</v>
      </c>
    </row>
    <row r="9">
      <c r="A9" s="17" t="s">
        <v>69</v>
      </c>
      <c r="B9" s="17" t="s">
        <v>70</v>
      </c>
      <c r="C9" s="17">
        <v>117</v>
      </c>
      <c r="D9" s="17">
        <v>117</v>
      </c>
      <c r="E9" s="20" t="s">
        <v>62</v>
      </c>
      <c r="F9" s="20" t="s">
        <v>62</v>
      </c>
      <c r="G9" s="20" t="s">
        <v>62</v>
      </c>
      <c r="H9" s="20" t="s">
        <v>62</v>
      </c>
      <c r="I9" s="17" t="s">
        <v>62</v>
      </c>
      <c r="J9" s="17" t="s">
        <v>62</v>
      </c>
      <c r="K9" s="17" t="s">
        <v>62</v>
      </c>
      <c r="L9" s="17" t="s">
        <v>62</v>
      </c>
      <c r="M9" s="17" t="s">
        <v>62</v>
      </c>
      <c r="N9" s="17" t="s">
        <v>62</v>
      </c>
    </row>
    <row r="10">
      <c r="A10" s="17" t="s">
        <v>73</v>
      </c>
      <c r="B10" s="17" t="s">
        <v>70</v>
      </c>
      <c r="C10" s="17">
        <v>99</v>
      </c>
      <c r="D10" s="17">
        <v>99</v>
      </c>
      <c r="E10" s="20" t="s">
        <v>62</v>
      </c>
      <c r="F10" s="20" t="s">
        <v>62</v>
      </c>
      <c r="G10" s="20" t="s">
        <v>62</v>
      </c>
      <c r="H10" s="20" t="s">
        <v>62</v>
      </c>
      <c r="I10" s="17" t="s">
        <v>62</v>
      </c>
      <c r="J10" s="17" t="s">
        <v>62</v>
      </c>
      <c r="K10" s="17" t="s">
        <v>62</v>
      </c>
      <c r="L10" s="17" t="s">
        <v>62</v>
      </c>
      <c r="M10" s="17" t="s">
        <v>62</v>
      </c>
      <c r="N10" s="17" t="s">
        <v>62</v>
      </c>
    </row>
    <row r="11">
      <c r="A11" s="17" t="s">
        <v>74</v>
      </c>
      <c r="B11" s="17" t="s">
        <v>68</v>
      </c>
      <c r="C11" s="17">
        <v>99</v>
      </c>
      <c r="D11" s="17">
        <v>99</v>
      </c>
      <c r="E11" s="20">
        <v>2</v>
      </c>
      <c r="F11" s="20">
        <v>2</v>
      </c>
      <c r="G11" s="20">
        <v>2</v>
      </c>
      <c r="H11" s="20">
        <v>198</v>
      </c>
      <c r="I11" s="17">
        <v>0</v>
      </c>
      <c r="J11" s="17" t="s">
        <v>43</v>
      </c>
      <c r="K11" s="17" t="s">
        <v>43</v>
      </c>
      <c r="L11" s="17" t="s">
        <v>43</v>
      </c>
      <c r="M11" s="17" t="s">
        <v>43</v>
      </c>
      <c r="N11" s="17" t="s">
        <v>43</v>
      </c>
    </row>
    <row r="12">
      <c r="A12" s="17" t="s">
        <v>75</v>
      </c>
      <c r="B12" s="17" t="s">
        <v>68</v>
      </c>
      <c r="C12" s="17">
        <v>99</v>
      </c>
      <c r="D12" s="17">
        <v>99</v>
      </c>
      <c r="E12" s="20">
        <v>8</v>
      </c>
      <c r="F12" s="20">
        <v>8</v>
      </c>
      <c r="G12" s="20">
        <v>8</v>
      </c>
      <c r="H12" s="20">
        <v>792</v>
      </c>
      <c r="I12" s="17">
        <v>0</v>
      </c>
      <c r="J12" s="17" t="s">
        <v>43</v>
      </c>
      <c r="K12" s="17" t="s">
        <v>43</v>
      </c>
      <c r="L12" s="17" t="s">
        <v>43</v>
      </c>
      <c r="M12" s="17" t="s">
        <v>43</v>
      </c>
      <c r="N12" s="17" t="s">
        <v>43</v>
      </c>
    </row>
    <row r="13">
      <c r="A13" s="17" t="s">
        <v>73</v>
      </c>
      <c r="B13" s="17" t="s">
        <v>70</v>
      </c>
      <c r="C13" s="17">
        <v>99</v>
      </c>
      <c r="D13" s="17">
        <v>99</v>
      </c>
      <c r="E13" s="20" t="s">
        <v>62</v>
      </c>
      <c r="F13" s="20" t="s">
        <v>62</v>
      </c>
      <c r="G13" s="20" t="s">
        <v>62</v>
      </c>
      <c r="H13" s="20" t="s">
        <v>62</v>
      </c>
      <c r="I13" s="17" t="s">
        <v>62</v>
      </c>
      <c r="J13" s="17" t="s">
        <v>62</v>
      </c>
      <c r="K13" s="17" t="s">
        <v>62</v>
      </c>
      <c r="L13" s="17" t="s">
        <v>62</v>
      </c>
      <c r="M13" s="17" t="s">
        <v>62</v>
      </c>
      <c r="N13" s="17" t="s">
        <v>62</v>
      </c>
    </row>
    <row r="14">
      <c r="A14" s="17" t="s">
        <v>76</v>
      </c>
      <c r="B14" s="17" t="s">
        <v>68</v>
      </c>
      <c r="C14" s="17">
        <v>99</v>
      </c>
      <c r="D14" s="17">
        <v>99</v>
      </c>
      <c r="E14" s="20">
        <v>2</v>
      </c>
      <c r="F14" s="20">
        <v>2</v>
      </c>
      <c r="G14" s="20">
        <v>2</v>
      </c>
      <c r="H14" s="20">
        <v>198</v>
      </c>
      <c r="I14" s="17">
        <v>0</v>
      </c>
      <c r="J14" s="17" t="s">
        <v>43</v>
      </c>
      <c r="K14" s="17" t="s">
        <v>43</v>
      </c>
      <c r="L14" s="17" t="s">
        <v>43</v>
      </c>
      <c r="M14" s="17" t="s">
        <v>43</v>
      </c>
      <c r="N14" s="17" t="s">
        <v>43</v>
      </c>
    </row>
    <row r="15">
      <c r="A15" s="17" t="s">
        <v>77</v>
      </c>
      <c r="B15" s="17" t="s">
        <v>68</v>
      </c>
      <c r="C15" s="17">
        <v>201</v>
      </c>
      <c r="D15" s="17">
        <v>201</v>
      </c>
      <c r="E15" s="20">
        <v>0</v>
      </c>
      <c r="F15" s="20">
        <v>0</v>
      </c>
      <c r="G15" s="20">
        <v>0</v>
      </c>
      <c r="H15" s="20">
        <v>0</v>
      </c>
      <c r="I15" s="17">
        <v>0</v>
      </c>
      <c r="J15" s="17" t="s">
        <v>43</v>
      </c>
      <c r="K15" s="17" t="s">
        <v>43</v>
      </c>
      <c r="L15" s="17" t="s">
        <v>43</v>
      </c>
      <c r="M15" s="17" t="s">
        <v>43</v>
      </c>
      <c r="N15" s="17" t="s">
        <v>43</v>
      </c>
    </row>
    <row r="16">
      <c r="A16" s="17" t="s">
        <v>78</v>
      </c>
      <c r="B16" s="17" t="s">
        <v>68</v>
      </c>
      <c r="C16" s="17">
        <v>53</v>
      </c>
      <c r="D16" s="17">
        <v>53</v>
      </c>
      <c r="E16" s="20">
        <v>0.083333333333314399</v>
      </c>
      <c r="F16" s="20">
        <v>0.083333333333342793</v>
      </c>
      <c r="G16" s="20">
        <v>0.083333333333334397</v>
      </c>
      <c r="H16" s="20">
        <v>4.4166666666667203</v>
      </c>
      <c r="I16" s="17">
        <v>0</v>
      </c>
      <c r="J16" s="17" t="s">
        <v>43</v>
      </c>
      <c r="K16" s="17" t="s">
        <v>43</v>
      </c>
      <c r="L16" s="17" t="s">
        <v>43</v>
      </c>
      <c r="M16" s="17" t="s">
        <v>43</v>
      </c>
      <c r="N16" s="17" t="s">
        <v>43</v>
      </c>
    </row>
    <row r="17">
      <c r="A17" s="17" t="s">
        <v>69</v>
      </c>
      <c r="B17" s="17" t="s">
        <v>70</v>
      </c>
      <c r="C17" s="17">
        <v>53</v>
      </c>
      <c r="D17" s="17">
        <v>53</v>
      </c>
      <c r="E17" s="20" t="s">
        <v>62</v>
      </c>
      <c r="F17" s="20" t="s">
        <v>62</v>
      </c>
      <c r="G17" s="20" t="s">
        <v>62</v>
      </c>
      <c r="H17" s="20" t="s">
        <v>62</v>
      </c>
      <c r="I17" s="17" t="s">
        <v>62</v>
      </c>
      <c r="J17" s="17" t="s">
        <v>62</v>
      </c>
      <c r="K17" s="17" t="s">
        <v>62</v>
      </c>
      <c r="L17" s="17" t="s">
        <v>62</v>
      </c>
      <c r="M17" s="17" t="s">
        <v>62</v>
      </c>
      <c r="N17" s="17" t="s">
        <v>62</v>
      </c>
    </row>
    <row r="18">
      <c r="A18" s="17" t="s">
        <v>79</v>
      </c>
      <c r="B18" s="17" t="s">
        <v>68</v>
      </c>
      <c r="C18" s="17">
        <v>11</v>
      </c>
      <c r="D18" s="17">
        <v>11</v>
      </c>
      <c r="E18" s="20">
        <v>0.033333333333331397</v>
      </c>
      <c r="F18" s="20">
        <v>0.033333333333359902</v>
      </c>
      <c r="G18" s="20">
        <v>0.0333333333333347</v>
      </c>
      <c r="H18" s="20">
        <v>0.36666666666668102</v>
      </c>
      <c r="I18" s="17">
        <v>0</v>
      </c>
      <c r="J18" s="17" t="s">
        <v>43</v>
      </c>
      <c r="K18" s="17" t="s">
        <v>43</v>
      </c>
      <c r="L18" s="17" t="s">
        <v>43</v>
      </c>
      <c r="M18" s="17" t="s">
        <v>43</v>
      </c>
      <c r="N18" s="17" t="s">
        <v>43</v>
      </c>
    </row>
    <row r="19">
      <c r="A19" s="17" t="s">
        <v>80</v>
      </c>
      <c r="B19" s="17" t="s">
        <v>81</v>
      </c>
      <c r="C19" s="17">
        <v>201</v>
      </c>
      <c r="D19" s="17" t="s">
        <v>62</v>
      </c>
      <c r="E19" s="20" t="s">
        <v>62</v>
      </c>
      <c r="F19" s="20" t="s">
        <v>62</v>
      </c>
      <c r="G19" s="20" t="s">
        <v>62</v>
      </c>
      <c r="H19" s="20" t="s">
        <v>62</v>
      </c>
      <c r="I19" s="17" t="s">
        <v>62</v>
      </c>
      <c r="J19" s="17" t="s">
        <v>62</v>
      </c>
      <c r="K19" s="17" t="s">
        <v>62</v>
      </c>
      <c r="L19" s="17" t="s">
        <v>62</v>
      </c>
      <c r="M19" s="17" t="s">
        <v>62</v>
      </c>
      <c r="N19" s="17" t="s">
        <v>62</v>
      </c>
    </row>
    <row r="20">
      <c r="A20" s="17" t="s">
        <v>82</v>
      </c>
      <c r="B20" s="17" t="s">
        <v>68</v>
      </c>
      <c r="C20" s="17">
        <v>105</v>
      </c>
      <c r="D20" s="17">
        <v>105</v>
      </c>
      <c r="E20" s="20">
        <v>0</v>
      </c>
      <c r="F20" s="20">
        <v>0</v>
      </c>
      <c r="G20" s="20">
        <v>0</v>
      </c>
      <c r="H20" s="20">
        <v>0</v>
      </c>
      <c r="I20" s="17">
        <v>0</v>
      </c>
      <c r="J20" s="17" t="s">
        <v>43</v>
      </c>
      <c r="K20" s="17" t="s">
        <v>43</v>
      </c>
      <c r="L20" s="17" t="s">
        <v>43</v>
      </c>
      <c r="M20" s="17" t="s">
        <v>43</v>
      </c>
      <c r="N20" s="17" t="s">
        <v>43</v>
      </c>
    </row>
    <row r="21">
      <c r="A21" s="17" t="s">
        <v>83</v>
      </c>
      <c r="B21" s="17" t="s">
        <v>68</v>
      </c>
      <c r="C21" s="17">
        <v>105</v>
      </c>
      <c r="D21" s="17">
        <v>105</v>
      </c>
      <c r="E21" s="20">
        <v>0.999999999999998</v>
      </c>
      <c r="F21" s="20">
        <v>2</v>
      </c>
      <c r="G21" s="20">
        <v>1.0246031746031701</v>
      </c>
      <c r="H21" s="20">
        <v>107.583333333333</v>
      </c>
      <c r="I21" s="17">
        <v>0</v>
      </c>
      <c r="J21" s="17" t="s">
        <v>84</v>
      </c>
      <c r="K21" s="17" t="s">
        <v>85</v>
      </c>
      <c r="L21" s="17" t="s">
        <v>86</v>
      </c>
      <c r="M21" s="17" t="s">
        <v>63</v>
      </c>
      <c r="N21" s="17" t="s">
        <v>64</v>
      </c>
    </row>
    <row r="22">
      <c r="A22" s="17" t="s">
        <v>69</v>
      </c>
      <c r="B22" s="17" t="s">
        <v>70</v>
      </c>
      <c r="C22" s="17">
        <v>105</v>
      </c>
      <c r="D22" s="17">
        <v>105</v>
      </c>
      <c r="E22" s="20" t="s">
        <v>62</v>
      </c>
      <c r="F22" s="20" t="s">
        <v>62</v>
      </c>
      <c r="G22" s="20" t="s">
        <v>62</v>
      </c>
      <c r="H22" s="20" t="s">
        <v>62</v>
      </c>
      <c r="I22" s="17" t="s">
        <v>62</v>
      </c>
      <c r="J22" s="17" t="s">
        <v>62</v>
      </c>
      <c r="K22" s="17" t="s">
        <v>62</v>
      </c>
      <c r="L22" s="17" t="s">
        <v>62</v>
      </c>
      <c r="M22" s="17" t="s">
        <v>62</v>
      </c>
      <c r="N22" s="17" t="s">
        <v>62</v>
      </c>
    </row>
    <row r="23">
      <c r="A23" s="17" t="s">
        <v>87</v>
      </c>
      <c r="B23" s="17" t="s">
        <v>81</v>
      </c>
      <c r="C23" s="17">
        <v>70</v>
      </c>
      <c r="D23" s="17" t="s">
        <v>62</v>
      </c>
      <c r="E23" s="20" t="s">
        <v>62</v>
      </c>
      <c r="F23" s="20" t="s">
        <v>62</v>
      </c>
      <c r="G23" s="20" t="s">
        <v>62</v>
      </c>
      <c r="H23" s="20" t="s">
        <v>62</v>
      </c>
      <c r="I23" s="17" t="s">
        <v>62</v>
      </c>
      <c r="J23" s="17" t="s">
        <v>62</v>
      </c>
      <c r="K23" s="17" t="s">
        <v>62</v>
      </c>
      <c r="L23" s="17" t="s">
        <v>62</v>
      </c>
      <c r="M23" s="17" t="s">
        <v>62</v>
      </c>
      <c r="N23" s="17" t="s">
        <v>62</v>
      </c>
    </row>
    <row r="24">
      <c r="A24" s="17" t="s">
        <v>88</v>
      </c>
      <c r="B24" s="17" t="s">
        <v>68</v>
      </c>
      <c r="C24" s="17">
        <v>29</v>
      </c>
      <c r="D24" s="17">
        <v>29</v>
      </c>
      <c r="E24" s="20">
        <v>7.9999999999999698</v>
      </c>
      <c r="F24" s="20">
        <v>8</v>
      </c>
      <c r="G24" s="20">
        <v>8</v>
      </c>
      <c r="H24" s="20">
        <v>232</v>
      </c>
      <c r="I24" s="17">
        <v>0</v>
      </c>
      <c r="J24" s="17" t="s">
        <v>43</v>
      </c>
      <c r="K24" s="17" t="s">
        <v>43</v>
      </c>
      <c r="L24" s="17" t="s">
        <v>43</v>
      </c>
      <c r="M24" s="17" t="s">
        <v>43</v>
      </c>
      <c r="N24" s="17" t="s">
        <v>43</v>
      </c>
    </row>
    <row r="25">
      <c r="A25" s="17" t="s">
        <v>89</v>
      </c>
      <c r="B25" s="17" t="s">
        <v>81</v>
      </c>
      <c r="C25" s="17">
        <v>29</v>
      </c>
      <c r="D25" s="17" t="s">
        <v>62</v>
      </c>
      <c r="E25" s="20" t="s">
        <v>62</v>
      </c>
      <c r="F25" s="20" t="s">
        <v>62</v>
      </c>
      <c r="G25" s="20" t="s">
        <v>62</v>
      </c>
      <c r="H25" s="20" t="s">
        <v>62</v>
      </c>
      <c r="I25" s="17" t="s">
        <v>62</v>
      </c>
      <c r="J25" s="17" t="s">
        <v>62</v>
      </c>
      <c r="K25" s="17" t="s">
        <v>62</v>
      </c>
      <c r="L25" s="17" t="s">
        <v>62</v>
      </c>
      <c r="M25" s="17" t="s">
        <v>62</v>
      </c>
      <c r="N25" s="17" t="s">
        <v>62</v>
      </c>
    </row>
    <row r="26">
      <c r="A26" s="17" t="s">
        <v>90</v>
      </c>
      <c r="B26" s="17" t="s">
        <v>70</v>
      </c>
      <c r="C26" s="17">
        <v>16</v>
      </c>
      <c r="D26" s="17">
        <v>16</v>
      </c>
      <c r="E26" s="20" t="s">
        <v>62</v>
      </c>
      <c r="F26" s="20" t="s">
        <v>62</v>
      </c>
      <c r="G26" s="20" t="s">
        <v>62</v>
      </c>
      <c r="H26" s="20" t="s">
        <v>62</v>
      </c>
      <c r="I26" s="17" t="s">
        <v>62</v>
      </c>
      <c r="J26" s="17" t="s">
        <v>62</v>
      </c>
      <c r="K26" s="17" t="s">
        <v>62</v>
      </c>
      <c r="L26" s="17" t="s">
        <v>62</v>
      </c>
      <c r="M26" s="17" t="s">
        <v>62</v>
      </c>
      <c r="N26" s="17" t="s">
        <v>62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Manager/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Кирилл Фирсов</cp:lastModifiedBy>
  <cp:revision>1</cp:revision>
  <dcterms:modified xsi:type="dcterms:W3CDTF">2025-06-28T13:25:09Z</dcterms:modified>
  <cp:category/>
</cp:coreProperties>
</file>